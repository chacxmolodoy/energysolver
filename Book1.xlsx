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ythonProject\"/>
    </mc:Choice>
  </mc:AlternateContent>
  <xr:revisionPtr revIDLastSave="0" documentId="13_ncr:1_{09AE45DD-654F-4E8F-976E-03261DD9F131}" xr6:coauthVersionLast="47" xr6:coauthVersionMax="47" xr10:uidLastSave="{00000000-0000-0000-0000-000000000000}"/>
  <bookViews>
    <workbookView xWindow="1080" yWindow="1080" windowWidth="21600" windowHeight="11295" xr2:uid="{A8363860-1159-4931-81F9-2768F9C10AD4}"/>
  </bookViews>
  <sheets>
    <sheet name="Sheet1" sheetId="1" r:id="rId1"/>
  </sheets>
  <definedNames>
    <definedName name="No">Sheet1!$C$19</definedName>
    <definedName name="А_атм">Sheet1!$C$12</definedName>
    <definedName name="А_дм">Sheet1!$C$20</definedName>
    <definedName name="А_навед">Sheet1!$C$13</definedName>
    <definedName name="А_нес">Sheet1!$C$21</definedName>
    <definedName name="дл_волны">Sheet1!$C$6</definedName>
    <definedName name="Ку_нртк">Sheet1!$C$17</definedName>
    <definedName name="ЭИИМ">Sheet1!$C$11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55" i="1" s="1"/>
  <c r="C50" i="1"/>
  <c r="C49" i="1"/>
  <c r="C48" i="1"/>
  <c r="C47" i="1"/>
  <c r="C46" i="1"/>
  <c r="C45" i="1"/>
  <c r="C44" i="1"/>
  <c r="B60" i="1"/>
  <c r="B59" i="1"/>
  <c r="B58" i="1"/>
  <c r="B57" i="1"/>
  <c r="B56" i="1"/>
  <c r="B54" i="1"/>
  <c r="B53" i="1"/>
  <c r="B50" i="1"/>
  <c r="B49" i="1"/>
  <c r="B48" i="1"/>
  <c r="B46" i="1"/>
  <c r="B45" i="1"/>
  <c r="B44" i="1"/>
  <c r="B47" i="1" l="1"/>
  <c r="D41" i="1" l="1"/>
  <c r="D40" i="1"/>
  <c r="D39" i="1"/>
  <c r="D38" i="1"/>
  <c r="D35" i="1"/>
  <c r="D36" i="1"/>
  <c r="D37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C41" i="1"/>
  <c r="C40" i="1"/>
  <c r="C39" i="1"/>
  <c r="C38" i="1"/>
  <c r="C37" i="1"/>
  <c r="C36" i="1"/>
  <c r="C35" i="1"/>
  <c r="B41" i="1"/>
  <c r="B40" i="1"/>
  <c r="B39" i="1"/>
  <c r="B38" i="1"/>
  <c r="B37" i="1"/>
  <c r="B36" i="1"/>
  <c r="B35" i="1"/>
  <c r="H30" i="1"/>
  <c r="H29" i="1"/>
  <c r="H28" i="1"/>
  <c r="H27" i="1"/>
  <c r="G30" i="1"/>
  <c r="G29" i="1"/>
  <c r="G28" i="1"/>
  <c r="G27" i="1"/>
  <c r="F30" i="1"/>
  <c r="F29" i="1"/>
  <c r="F28" i="1"/>
  <c r="F27" i="1"/>
  <c r="E30" i="1"/>
  <c r="E29" i="1"/>
  <c r="E28" i="1"/>
  <c r="E27" i="1"/>
  <c r="A16" i="1"/>
  <c r="A13" i="1"/>
  <c r="A5" i="1"/>
  <c r="A8" i="1" s="1"/>
  <c r="A3" i="1"/>
  <c r="C27" i="1" l="1"/>
  <c r="A14" i="1"/>
  <c r="B28" i="1" s="1"/>
  <c r="B29" i="1" s="1"/>
  <c r="B30" i="1" s="1"/>
  <c r="D27" i="1"/>
  <c r="D28" i="1" s="1"/>
  <c r="D29" i="1" s="1"/>
  <c r="D30" i="1" s="1"/>
  <c r="D46" i="1"/>
  <c r="C28" i="1" l="1"/>
  <c r="D44" i="1"/>
  <c r="D48" i="1"/>
  <c r="D49" i="1"/>
  <c r="D56" i="1"/>
  <c r="D45" i="1"/>
  <c r="D60" i="1"/>
  <c r="D55" i="1"/>
  <c r="D57" i="1"/>
  <c r="D58" i="1"/>
  <c r="D50" i="1"/>
  <c r="D53" i="1"/>
  <c r="D59" i="1"/>
  <c r="D47" i="1"/>
  <c r="D54" i="1"/>
  <c r="C29" i="1" l="1"/>
  <c r="C30" i="1" s="1"/>
  <c r="E60" i="1" l="1"/>
  <c r="E46" i="1"/>
  <c r="E53" i="1"/>
  <c r="E49" i="1"/>
  <c r="E47" i="1"/>
  <c r="E54" i="1"/>
  <c r="E57" i="1"/>
  <c r="E50" i="1"/>
  <c r="E58" i="1"/>
  <c r="E56" i="1"/>
  <c r="E59" i="1"/>
  <c r="E44" i="1"/>
  <c r="E48" i="1"/>
  <c r="E55" i="1"/>
  <c r="E45" i="1"/>
  <c r="F44" i="1"/>
  <c r="F59" i="1"/>
  <c r="F46" i="1"/>
  <c r="F45" i="1"/>
  <c r="F47" i="1"/>
  <c r="F49" i="1"/>
  <c r="F54" i="1"/>
  <c r="F50" i="1"/>
  <c r="F48" i="1"/>
  <c r="F55" i="1"/>
  <c r="F56" i="1"/>
  <c r="F58" i="1"/>
  <c r="F57" i="1"/>
  <c r="F53" i="1"/>
  <c r="F60" i="1"/>
  <c r="G55" i="1"/>
  <c r="G60" i="1"/>
  <c r="G46" i="1"/>
  <c r="G53" i="1"/>
  <c r="G56" i="1"/>
  <c r="G47" i="1"/>
  <c r="G50" i="1"/>
  <c r="G58" i="1"/>
  <c r="G45" i="1"/>
  <c r="G54" i="1"/>
  <c r="G59" i="1"/>
  <c r="G44" i="1"/>
  <c r="G49" i="1"/>
  <c r="G57" i="1"/>
  <c r="G48" i="1"/>
  <c r="H58" i="1"/>
  <c r="H45" i="1"/>
  <c r="H59" i="1"/>
  <c r="H44" i="1"/>
  <c r="H50" i="1"/>
  <c r="H49" i="1"/>
  <c r="H55" i="1"/>
  <c r="H54" i="1"/>
  <c r="H57" i="1"/>
  <c r="H47" i="1"/>
  <c r="H53" i="1"/>
  <c r="H56" i="1"/>
  <c r="H48" i="1"/>
  <c r="H60" i="1"/>
  <c r="H46" i="1"/>
  <c r="C56" i="1"/>
  <c r="C55" i="1"/>
  <c r="C59" i="1"/>
  <c r="C54" i="1"/>
  <c r="C53" i="1"/>
  <c r="C58" i="1"/>
  <c r="C60" i="1"/>
  <c r="C57" i="1"/>
</calcChain>
</file>

<file path=xl/sharedStrings.xml><?xml version="1.0" encoding="utf-8"?>
<sst xmlns="http://schemas.openxmlformats.org/spreadsheetml/2006/main" count="57" uniqueCount="42">
  <si>
    <t>10^-5</t>
  </si>
  <si>
    <t>Параметр</t>
  </si>
  <si>
    <t>Частота сигнала, МГц    (ПМ)</t>
  </si>
  <si>
    <t>Длина волны, см</t>
  </si>
  <si>
    <t>Мощность  передатчика КА,  Вт</t>
  </si>
  <si>
    <t xml:space="preserve">                                                           дБВт</t>
  </si>
  <si>
    <t>Потери в ВЧ трактах КА, дБ</t>
  </si>
  <si>
    <r>
      <t xml:space="preserve">Усиление антенны КА, дБ  (в секторе углов </t>
    </r>
    <r>
      <rPr>
        <sz val="11"/>
        <color theme="1"/>
        <rFont val="Calibri"/>
        <family val="2"/>
        <charset val="204"/>
      </rPr>
      <t>±90⁰)</t>
    </r>
  </si>
  <si>
    <t>ЭИИМ КА, дБВт</t>
  </si>
  <si>
    <t>Потери в атмосфере, дБ</t>
  </si>
  <si>
    <t>Потери за счет неточности наведения антенн, дБ</t>
  </si>
  <si>
    <t>Диаметр антенны НРТК, м</t>
  </si>
  <si>
    <t>Коэффициент использования поверхности зеркала</t>
  </si>
  <si>
    <t>Эффективная площадь антенны НРТК, м2</t>
  </si>
  <si>
    <t>Усиление антенны НРТК, дБ</t>
  </si>
  <si>
    <r>
      <t>Шумовая системная температура НРТК, К (УМ=10</t>
    </r>
    <r>
      <rPr>
        <sz val="11"/>
        <color theme="1"/>
        <rFont val="Calibri"/>
        <family val="2"/>
        <charset val="204"/>
      </rPr>
      <t>⁰)</t>
    </r>
  </si>
  <si>
    <r>
      <t>N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 xml:space="preserve">=kТ </t>
    </r>
    <r>
      <rPr>
        <sz val="9"/>
        <color theme="1"/>
        <rFont val="Calibri"/>
        <family val="2"/>
        <charset val="204"/>
        <scheme val="minor"/>
      </rPr>
      <t>ш сист</t>
    </r>
    <r>
      <rPr>
        <sz val="11"/>
        <color theme="1"/>
        <rFont val="Calibri"/>
        <family val="2"/>
        <charset val="204"/>
        <scheme val="minor"/>
      </rPr>
      <t>, дБВт/Гц</t>
    </r>
  </si>
  <si>
    <t>Потери при демодуляции сигнала, дБ</t>
  </si>
  <si>
    <r>
      <t>Потери за счет остатка несущей, дБ (ФМН 0-90</t>
    </r>
    <r>
      <rPr>
        <sz val="11"/>
        <color theme="1"/>
        <rFont val="Calibri"/>
        <family val="2"/>
        <charset val="204"/>
      </rPr>
      <t>⁰)</t>
    </r>
  </si>
  <si>
    <t>Вероятность ошибки</t>
  </si>
  <si>
    <r>
      <t>Пороговое отношение Е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>/N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 xml:space="preserve">, дБ, при Р </t>
    </r>
    <r>
      <rPr>
        <sz val="9"/>
        <color theme="1"/>
        <rFont val="Calibri"/>
        <family val="2"/>
        <charset val="204"/>
        <scheme val="minor"/>
      </rPr>
      <t>ош</t>
    </r>
    <r>
      <rPr>
        <sz val="11"/>
        <color theme="1"/>
        <rFont val="Calibri"/>
        <family val="2"/>
        <charset val="204"/>
        <scheme val="minor"/>
      </rPr>
      <t>=10</t>
    </r>
    <r>
      <rPr>
        <sz val="12"/>
        <color theme="1"/>
        <rFont val="Calibri"/>
        <family val="2"/>
        <charset val="204"/>
        <scheme val="minor"/>
      </rPr>
      <t>-5</t>
    </r>
  </si>
  <si>
    <t>с учетом потерь на реализацию:</t>
  </si>
  <si>
    <t xml:space="preserve">          - для турбокода (1784, R=1/3);</t>
  </si>
  <si>
    <t xml:space="preserve">          - для сверточного кода (k=7, R=1/4)</t>
  </si>
  <si>
    <t xml:space="preserve">          - для режима без кодирования</t>
  </si>
  <si>
    <t>Пороговый потенциал для режима Д+Д', дБГц</t>
  </si>
  <si>
    <t>Дальность Д до КА, км</t>
  </si>
  <si>
    <t>Потери в свободном пространстве, дБ</t>
  </si>
  <si>
    <t>Потенциал в радиолинии, дБГц</t>
  </si>
  <si>
    <t>Потенциал по остатку несущей, дБГц (изм. Д+Д')</t>
  </si>
  <si>
    <t>Запас по уровню остатка несущей для изм. Д+Д'</t>
  </si>
  <si>
    <r>
      <t>Запас по отношению Е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>/N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, дБ, для турбокода:</t>
    </r>
  </si>
  <si>
    <t xml:space="preserve">     - при приеме ТМИ  16 бит/с;</t>
  </si>
  <si>
    <t xml:space="preserve">     - при приеме ТМИ 128 бит/с;</t>
  </si>
  <si>
    <t xml:space="preserve">     - при приеме ТМИ 1024 бит/с</t>
  </si>
  <si>
    <t xml:space="preserve">     - при приеме ТМИ 4096 бит/с</t>
  </si>
  <si>
    <t xml:space="preserve">     - при приеме ТМИ 16384 бит/с</t>
  </si>
  <si>
    <t xml:space="preserve">     - при приеме ТМИ 32768 бит/с</t>
  </si>
  <si>
    <t xml:space="preserve">     - при приеме ТМИ 524288 бит/с</t>
  </si>
  <si>
    <r>
      <t>Запас по отношению Е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>/N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, дБ, для сверточного кода:</t>
    </r>
  </si>
  <si>
    <r>
      <t>Запас по отношению Е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>/N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, дБ, для реж. без кодиров:</t>
    </r>
  </si>
  <si>
    <t xml:space="preserve">     - при приеме ТМИ  4 бит/с;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</si>
</sst>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2" borderId="5" xfId="0" applyFill="1" applyBorder="1"/>
    <xf numFmtId="165" fontId="0" fillId="3" borderId="5" xfId="0" applyNumberFormat="1" applyFill="1" applyBorder="1" applyAlignment="1">
      <alignment horizontal="center"/>
    </xf>
    <xf numFmtId="0" fontId="0" fillId="2" borderId="9" xfId="0" applyFill="1" applyBorder="1"/>
    <xf numFmtId="165" fontId="0" fillId="3" borderId="0" xfId="0" applyNumberFormat="1" applyFill="1" applyAlignment="1">
      <alignment horizontal="center"/>
    </xf>
    <xf numFmtId="0" fontId="0" fillId="2" borderId="10" xfId="0" applyFill="1" applyBorder="1"/>
    <xf numFmtId="165" fontId="0" fillId="3" borderId="11" xfId="0" applyNumberFormat="1" applyFill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3" fontId="5" fillId="2" borderId="10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9" xfId="0" applyBorder="1" applyAlignment="1">
      <alignment wrapText="1"/>
    </xf>
    <xf numFmtId="164" fontId="0" fillId="4" borderId="9" xfId="0" applyNumberFormat="1" applyFill="1" applyBorder="1" applyAlignment="1">
      <alignment horizontal="center"/>
    </xf>
    <xf numFmtId="0" fontId="0" fillId="0" borderId="10" xfId="0" applyBorder="1" applyAlignment="1">
      <alignment wrapText="1"/>
    </xf>
    <xf numFmtId="164" fontId="0" fillId="4" borderId="10" xfId="0" applyNumberFormat="1" applyFill="1" applyBorder="1" applyAlignment="1">
      <alignment horizontal="center"/>
    </xf>
    <xf numFmtId="0" fontId="0" fillId="0" borderId="11" xfId="0" applyBorder="1" applyAlignment="1">
      <alignment wrapText="1"/>
    </xf>
    <xf numFmtId="165" fontId="0" fillId="0" borderId="12" xfId="0" applyNumberForma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3" fontId="0" fillId="0" borderId="7" xfId="0" applyNumberFormat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5" fontId="0" fillId="0" borderId="14" xfId="0" applyNumberForma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wrapText="1"/>
    </xf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5BD1-6A1B-4C85-B22B-4F586577911F}">
  <dimension ref="A1:H60"/>
  <sheetViews>
    <sheetView tabSelected="1" topLeftCell="A13" workbookViewId="0">
      <selection activeCell="B32" sqref="B32"/>
    </sheetView>
  </sheetViews>
  <sheetFormatPr defaultRowHeight="15" x14ac:dyDescent="0.25"/>
  <cols>
    <col min="1" max="1" width="21" customWidth="1"/>
    <col min="2" max="2" width="43.85546875" customWidth="1"/>
  </cols>
  <sheetData>
    <row r="1" spans="1:2" ht="18.75" x14ac:dyDescent="0.3">
      <c r="B1" s="2" t="s">
        <v>1</v>
      </c>
    </row>
    <row r="2" spans="1:2" x14ac:dyDescent="0.25">
      <c r="A2">
        <v>2210</v>
      </c>
      <c r="B2" s="3" t="s">
        <v>2</v>
      </c>
    </row>
    <row r="3" spans="1:2" x14ac:dyDescent="0.25">
      <c r="A3">
        <f>300000000/A2/1000000*100</f>
        <v>13.574660633484164</v>
      </c>
      <c r="B3" s="3" t="s">
        <v>3</v>
      </c>
    </row>
    <row r="4" spans="1:2" x14ac:dyDescent="0.25">
      <c r="A4">
        <v>10</v>
      </c>
      <c r="B4" s="4" t="s">
        <v>4</v>
      </c>
    </row>
    <row r="5" spans="1:2" x14ac:dyDescent="0.25">
      <c r="A5">
        <f>10*LOG10(A4)</f>
        <v>10</v>
      </c>
      <c r="B5" s="4" t="s">
        <v>5</v>
      </c>
    </row>
    <row r="6" spans="1:2" x14ac:dyDescent="0.25">
      <c r="A6">
        <v>0</v>
      </c>
      <c r="B6" s="4" t="s">
        <v>6</v>
      </c>
    </row>
    <row r="7" spans="1:2" x14ac:dyDescent="0.25">
      <c r="A7">
        <v>-10</v>
      </c>
      <c r="B7" s="4" t="s">
        <v>7</v>
      </c>
    </row>
    <row r="8" spans="1:2" x14ac:dyDescent="0.25">
      <c r="A8" s="1">
        <f>A5-A6+A7</f>
        <v>0</v>
      </c>
      <c r="B8" s="4" t="s">
        <v>8</v>
      </c>
    </row>
    <row r="9" spans="1:2" x14ac:dyDescent="0.25">
      <c r="A9">
        <v>3</v>
      </c>
      <c r="B9" s="4" t="s">
        <v>9</v>
      </c>
    </row>
    <row r="10" spans="1:2" x14ac:dyDescent="0.25">
      <c r="A10">
        <v>1</v>
      </c>
      <c r="B10" s="4" t="s">
        <v>10</v>
      </c>
    </row>
    <row r="11" spans="1:2" x14ac:dyDescent="0.25">
      <c r="A11">
        <v>9</v>
      </c>
      <c r="B11" s="4" t="s">
        <v>11</v>
      </c>
    </row>
    <row r="12" spans="1:2" x14ac:dyDescent="0.25">
      <c r="A12">
        <v>0.8</v>
      </c>
      <c r="B12" s="4" t="s">
        <v>12</v>
      </c>
    </row>
    <row r="13" spans="1:2" x14ac:dyDescent="0.25">
      <c r="A13">
        <f>3.14*A11*A11/4*A12</f>
        <v>50.868000000000002</v>
      </c>
      <c r="B13" s="4" t="s">
        <v>13</v>
      </c>
    </row>
    <row r="14" spans="1:2" x14ac:dyDescent="0.25">
      <c r="A14">
        <f>10*LOG10(4*3.14*A13/A3*100/A3*100)</f>
        <v>45.399763399479198</v>
      </c>
      <c r="B14" s="4" t="s">
        <v>14</v>
      </c>
    </row>
    <row r="15" spans="1:2" x14ac:dyDescent="0.25">
      <c r="A15">
        <v>35</v>
      </c>
      <c r="B15" s="5" t="s">
        <v>15</v>
      </c>
    </row>
    <row r="16" spans="1:2" x14ac:dyDescent="0.25">
      <c r="A16">
        <f>10*LOG10(1.38E-23*A15)</f>
        <v>-213.16052869248489</v>
      </c>
      <c r="B16" s="4" t="s">
        <v>16</v>
      </c>
    </row>
    <row r="17" spans="1:8" x14ac:dyDescent="0.25">
      <c r="A17">
        <v>1</v>
      </c>
      <c r="B17" s="4" t="s">
        <v>17</v>
      </c>
    </row>
    <row r="18" spans="1:8" x14ac:dyDescent="0.25">
      <c r="A18">
        <v>3</v>
      </c>
      <c r="B18" s="6" t="s">
        <v>18</v>
      </c>
    </row>
    <row r="19" spans="1:8" x14ac:dyDescent="0.25">
      <c r="A19" t="s">
        <v>0</v>
      </c>
      <c r="B19" s="7" t="s">
        <v>19</v>
      </c>
    </row>
    <row r="20" spans="1:8" ht="15.75" x14ac:dyDescent="0.25">
      <c r="A20" s="6" t="s">
        <v>20</v>
      </c>
      <c r="B20" s="48"/>
      <c r="C20" s="49"/>
      <c r="D20" s="49"/>
      <c r="E20" s="49"/>
      <c r="F20" s="49"/>
      <c r="G20" s="49"/>
      <c r="H20" s="50"/>
    </row>
    <row r="21" spans="1:8" x14ac:dyDescent="0.25">
      <c r="A21" s="7" t="s">
        <v>21</v>
      </c>
      <c r="B21" s="10"/>
      <c r="C21" s="11"/>
      <c r="D21" s="11"/>
      <c r="E21" s="11"/>
      <c r="F21" s="11"/>
      <c r="G21" s="11"/>
      <c r="H21" s="12"/>
    </row>
    <row r="22" spans="1:8" x14ac:dyDescent="0.25">
      <c r="A22" s="13" t="s">
        <v>22</v>
      </c>
      <c r="B22" s="14">
        <v>3</v>
      </c>
      <c r="C22" s="11"/>
      <c r="D22" s="11"/>
      <c r="E22" s="11"/>
      <c r="F22" s="11"/>
      <c r="G22" s="11"/>
      <c r="H22" s="12"/>
    </row>
    <row r="23" spans="1:8" x14ac:dyDescent="0.25">
      <c r="A23" s="15" t="s">
        <v>23</v>
      </c>
      <c r="B23" s="16">
        <v>6</v>
      </c>
      <c r="C23" s="11"/>
      <c r="D23" s="11"/>
      <c r="E23" s="11"/>
      <c r="F23" s="11"/>
      <c r="G23" s="11"/>
      <c r="H23" s="12"/>
    </row>
    <row r="24" spans="1:8" x14ac:dyDescent="0.25">
      <c r="A24" s="17" t="s">
        <v>24</v>
      </c>
      <c r="B24" s="18">
        <v>10</v>
      </c>
      <c r="C24" s="19"/>
      <c r="D24" s="19"/>
      <c r="E24" s="19"/>
      <c r="F24" s="19"/>
      <c r="G24" s="19"/>
      <c r="H24" s="20"/>
    </row>
    <row r="25" spans="1:8" x14ac:dyDescent="0.25">
      <c r="A25" s="4" t="s">
        <v>25</v>
      </c>
      <c r="B25" s="21">
        <v>13</v>
      </c>
      <c r="C25" s="19"/>
      <c r="D25" s="19"/>
      <c r="E25" s="19"/>
      <c r="F25" s="19"/>
      <c r="G25" s="19"/>
      <c r="H25" s="20"/>
    </row>
    <row r="26" spans="1:8" x14ac:dyDescent="0.25">
      <c r="A26" s="7" t="s">
        <v>26</v>
      </c>
      <c r="B26" s="22">
        <v>200</v>
      </c>
      <c r="C26" s="23">
        <v>1000</v>
      </c>
      <c r="D26" s="23">
        <v>100000</v>
      </c>
      <c r="E26" s="23">
        <v>400000</v>
      </c>
      <c r="F26" s="23">
        <v>1000000</v>
      </c>
      <c r="G26" s="23">
        <v>2000000</v>
      </c>
      <c r="H26" s="23">
        <v>10000000</v>
      </c>
    </row>
    <row r="27" spans="1:8" x14ac:dyDescent="0.25">
      <c r="A27" s="6" t="s">
        <v>27</v>
      </c>
      <c r="B27" s="24">
        <f>20*LOG10(4*3.14*(B26*1000)/(A3/100))</f>
        <v>145.34581308061212</v>
      </c>
      <c r="C27" s="24">
        <f>20*LOG10(4*3.14*(C26*1000)/(A3/100))</f>
        <v>159.32521316733249</v>
      </c>
      <c r="D27" s="24">
        <f>20*LOG10(4*3.14*(D26*1000)/(A3/100))</f>
        <v>199.32521316733249</v>
      </c>
      <c r="E27" s="24">
        <f>20*LOG10(4*3.14*(E26*1000)/(A3/100))</f>
        <v>211.36641299389174</v>
      </c>
      <c r="F27" s="25">
        <f>20*LOG10(4*3.14*(F26*1000)/(A3/100))</f>
        <v>219.32521316733249</v>
      </c>
      <c r="G27" s="25">
        <f>20*LOG10(4*3.14*(G26*1000)/(A3/100))</f>
        <v>225.34581308061212</v>
      </c>
      <c r="H27" s="25">
        <f>20*LOG10(4*3.14*(H26*1000)/(A3/100))</f>
        <v>239.32521316733249</v>
      </c>
    </row>
    <row r="28" spans="1:8" x14ac:dyDescent="0.25">
      <c r="A28" s="4" t="s">
        <v>28</v>
      </c>
      <c r="B28" s="26">
        <f>A8-A9-A10+A14-A16-B27</f>
        <v>109.21447901135195</v>
      </c>
      <c r="C28" s="26">
        <f>A8-A9-A10+A14-A16-C27</f>
        <v>95.23507892463158</v>
      </c>
      <c r="D28" s="26">
        <f>A8-A9-A10+A14-A16-D27</f>
        <v>55.23507892463158</v>
      </c>
      <c r="E28" s="26">
        <f>A8-A9-A10+A14-A16-E27</f>
        <v>43.19387909807233</v>
      </c>
      <c r="F28" s="26">
        <f>A8-A9-A10+A14-A16-F27</f>
        <v>35.23507892463158</v>
      </c>
      <c r="G28" s="26">
        <f>A8-A9-A10+A14-A16-G27</f>
        <v>29.214479011351955</v>
      </c>
      <c r="H28" s="26">
        <f>A8-A9-A10+A14-A16-H27</f>
        <v>15.23507892463158</v>
      </c>
    </row>
    <row r="29" spans="1:8" x14ac:dyDescent="0.25">
      <c r="A29" s="4" t="s">
        <v>29</v>
      </c>
      <c r="B29" s="26">
        <f>B28-A18</f>
        <v>106.21447901135195</v>
      </c>
      <c r="C29" s="26">
        <f>C28-A18</f>
        <v>92.23507892463158</v>
      </c>
      <c r="D29" s="26">
        <f>D28-A18</f>
        <v>52.23507892463158</v>
      </c>
      <c r="E29" s="26">
        <f>E28-A18</f>
        <v>40.19387909807233</v>
      </c>
      <c r="F29" s="26">
        <f>F28-A18</f>
        <v>32.23507892463158</v>
      </c>
      <c r="G29" s="26">
        <f>G28-A18</f>
        <v>26.214479011351955</v>
      </c>
      <c r="H29" s="26">
        <f>H28-A18</f>
        <v>12.23507892463158</v>
      </c>
    </row>
    <row r="30" spans="1:8" x14ac:dyDescent="0.25">
      <c r="A30" s="4" t="s">
        <v>30</v>
      </c>
      <c r="B30" s="26">
        <f>B29-$B$25</f>
        <v>93.214479011351955</v>
      </c>
      <c r="C30" s="26">
        <f>C29-B25</f>
        <v>79.23507892463158</v>
      </c>
      <c r="D30" s="26">
        <f>D29-B25</f>
        <v>39.23507892463158</v>
      </c>
      <c r="E30" s="26">
        <f>E29-B25</f>
        <v>27.19387909807233</v>
      </c>
      <c r="F30" s="26">
        <f>F29-B25</f>
        <v>19.23507892463158</v>
      </c>
      <c r="G30" s="26">
        <f>G29-B25</f>
        <v>13.214479011351955</v>
      </c>
      <c r="H30" s="26">
        <f>H29-B25</f>
        <v>-0.76492107536842013</v>
      </c>
    </row>
    <row r="31" spans="1:8" x14ac:dyDescent="0.25">
      <c r="B31" s="11"/>
      <c r="C31" s="11"/>
      <c r="D31" s="11"/>
      <c r="E31" s="11"/>
      <c r="F31" s="11"/>
      <c r="G31" s="11"/>
      <c r="H31" s="11"/>
    </row>
    <row r="32" spans="1:8" x14ac:dyDescent="0.25">
      <c r="A32" s="4" t="s">
        <v>26</v>
      </c>
      <c r="B32" s="27">
        <v>200</v>
      </c>
      <c r="C32" s="27">
        <v>1000</v>
      </c>
      <c r="D32" s="27">
        <v>100000</v>
      </c>
      <c r="E32" s="27">
        <v>400000</v>
      </c>
      <c r="F32" s="27">
        <v>1000000</v>
      </c>
      <c r="G32" s="27">
        <v>2000000</v>
      </c>
      <c r="H32" s="27">
        <v>10000000</v>
      </c>
    </row>
    <row r="33" spans="1:8" x14ac:dyDescent="0.25">
      <c r="A33" s="4"/>
      <c r="B33" s="8"/>
      <c r="C33" s="8"/>
      <c r="D33" s="8"/>
      <c r="E33" s="28"/>
      <c r="F33" s="9"/>
      <c r="G33" s="21"/>
      <c r="H33" s="29"/>
    </row>
    <row r="34" spans="1:8" x14ac:dyDescent="0.25">
      <c r="A34" s="5" t="s">
        <v>31</v>
      </c>
      <c r="B34" s="30"/>
      <c r="C34" s="30"/>
      <c r="D34" s="5"/>
      <c r="E34" s="5"/>
      <c r="F34" s="5"/>
      <c r="G34" s="5"/>
      <c r="H34" s="5"/>
    </row>
    <row r="35" spans="1:8" ht="30" x14ac:dyDescent="0.25">
      <c r="A35" s="31" t="s">
        <v>32</v>
      </c>
      <c r="B35" s="32">
        <f>A8-B$27-A9-A10+A14-A17-A18-A16-10*LOG10(16)-B22</f>
        <v>90.173279184792719</v>
      </c>
      <c r="C35" s="32">
        <f>A8-C$27-A9-A10+A14-A17-A18-A16-10*LOG10(16)-B22</f>
        <v>76.193879098072344</v>
      </c>
      <c r="D35" s="32">
        <f>A8-D$27-A9-A10+A14-A17-A18-A16-10*LOG10(16)-B22</f>
        <v>36.19387909807233</v>
      </c>
      <c r="E35" s="32">
        <f>A8-E$27-A9-A10+A14-A17-A18-A16-10*LOG10(16)-B22</f>
        <v>24.15267927151308</v>
      </c>
      <c r="F35" s="32">
        <f>A8-F$27-A9-A10+A14-A17-A18-A16-10*LOG10(16)-B22</f>
        <v>16.19387909807233</v>
      </c>
      <c r="G35" s="32">
        <f>A8-G$27-A9-A10+A14-A17-A18-A16-10*LOG10(16)-B22</f>
        <v>10.173279184792706</v>
      </c>
      <c r="H35" s="32">
        <f>A8-H$27-A9-A10+A14-A17-A18-A16-10*LOG10(16)-B22</f>
        <v>-3.8061209019276685</v>
      </c>
    </row>
    <row r="36" spans="1:8" ht="30" x14ac:dyDescent="0.25">
      <c r="A36" s="31" t="s">
        <v>33</v>
      </c>
      <c r="B36" s="32">
        <f>A8-B$27-A9-A10+A14-A17-A18-A16-10*LOG10(128)-B22</f>
        <v>81.142379314873281</v>
      </c>
      <c r="C36" s="32">
        <f>A8-C$27-A9-A10+A14-A17-A18-A16-10*LOG10(128)-B22</f>
        <v>67.162979228152906</v>
      </c>
      <c r="D36" s="32">
        <f>A8-D$27-A9-A10+A14-A17-A18-A16-10*LOG10(128)-B22</f>
        <v>27.162979228152896</v>
      </c>
      <c r="E36" s="32">
        <f>ЭИИМ-E$30-А_атм-А_навед+Ку_нртк-А_дм-А_нес-No-10*LOG10(128)-$C$25</f>
        <v>-48.265978794551017</v>
      </c>
      <c r="F36" s="32">
        <f t="shared" ref="F36:H36" si="0">ЭИИМ-F$30-А_атм-А_навед+Ку_нртк-А_дм-А_нес-No-10*LOG10(128)-$C$25</f>
        <v>-40.307178621110268</v>
      </c>
      <c r="G36" s="32">
        <f t="shared" si="0"/>
        <v>-34.286578707830643</v>
      </c>
      <c r="H36" s="32">
        <f t="shared" si="0"/>
        <v>-20.307178621110264</v>
      </c>
    </row>
    <row r="37" spans="1:8" ht="30" x14ac:dyDescent="0.25">
      <c r="A37" s="31" t="s">
        <v>34</v>
      </c>
      <c r="B37" s="32">
        <f>A8-B$27-A9-A10+A14-A17-A18-A16-10*LOG10(1024)-B22</f>
        <v>72.111479444953844</v>
      </c>
      <c r="C37" s="32">
        <f>A8-C$27-A9-A10+A14-A17-A18-A16-10*LOG10(1024)-B22</f>
        <v>58.132079358233469</v>
      </c>
      <c r="D37" s="32">
        <f>A8-D$27-A9-A10+A14-A17-A18-A16-10*LOG10(1024)-B22</f>
        <v>18.132079358233458</v>
      </c>
      <c r="E37" s="32">
        <f>ЭИИМ-E$30-А_атм-А_навед+Ку_нртк-А_дм-А_нес-No-10*LOG10(1024)-$C$25</f>
        <v>-57.296878664470455</v>
      </c>
      <c r="F37" s="32">
        <f t="shared" ref="F37:H37" si="1">ЭИИМ-F$30-А_атм-А_навед+Ку_нртк-А_дм-А_нес-No-10*LOG10(1024)-$C$25</f>
        <v>-49.338078491029705</v>
      </c>
      <c r="G37" s="32">
        <f t="shared" si="1"/>
        <v>-43.31747857775008</v>
      </c>
      <c r="H37" s="32">
        <f t="shared" si="1"/>
        <v>-29.338078491029702</v>
      </c>
    </row>
    <row r="38" spans="1:8" ht="30" x14ac:dyDescent="0.25">
      <c r="A38" s="31" t="s">
        <v>35</v>
      </c>
      <c r="B38" s="32">
        <f>A8-B$27-A9-A10+A14-A17-A18-A16-10*LOG10(4096)-B22</f>
        <v>66.090879531674233</v>
      </c>
      <c r="C38" s="32">
        <f>A8-C$27-A9-A10+A14-A17-A18-A16-10*LOG10(4096)-B22</f>
        <v>52.111479444953851</v>
      </c>
      <c r="D38" s="32">
        <f>A8-D$27-A9-A10+A14-A17-A18-A16-10*LOG10(4096)-B22</f>
        <v>12.111479444953837</v>
      </c>
      <c r="E38" s="32">
        <f>ЭИИМ-E$30-А_атм-А_навед+Ку_нртк-А_дм-А_нес-No-10*LOG10(4096)-$C$25</f>
        <v>-63.317478577750073</v>
      </c>
      <c r="F38" s="32">
        <f t="shared" ref="F38:H38" si="2">ЭИИМ-F$30-А_атм-А_навед+Ку_нртк-А_дм-А_нес-No-10*LOG10(4096)-$C$25</f>
        <v>-55.358678404309323</v>
      </c>
      <c r="G38" s="32">
        <f t="shared" si="2"/>
        <v>-49.338078491029698</v>
      </c>
      <c r="H38" s="32">
        <f t="shared" si="2"/>
        <v>-35.358678404309323</v>
      </c>
    </row>
    <row r="39" spans="1:8" ht="30" x14ac:dyDescent="0.25">
      <c r="A39" s="31" t="s">
        <v>36</v>
      </c>
      <c r="B39" s="32">
        <f>A8-B$27-A9-A10+A14-A17-A18-A16-10*LOG10(16384)-B22</f>
        <v>60.070279618394601</v>
      </c>
      <c r="C39" s="32">
        <f>A8-C$27-A9-A10+A14-A17-A18-A16-10*LOG10(16384)-B22</f>
        <v>46.090879531674226</v>
      </c>
      <c r="D39" s="32">
        <f>A8-D$27-A9-A10+A14-A17-A18-A16-10*LOG10(16384)-B22</f>
        <v>6.0908795316742115</v>
      </c>
      <c r="E39" s="32">
        <f>ЭИИМ-E$30-А_атм-А_навед+Ку_нртк-А_дм-А_нес-No-10*LOG10(16384)-$C$25</f>
        <v>-69.338078491029705</v>
      </c>
      <c r="F39" s="32">
        <f t="shared" ref="F39:H39" si="3">ЭИИМ-F$30-А_атм-А_навед+Ку_нртк-А_дм-А_нес-No-10*LOG10(16384)-$C$25</f>
        <v>-61.379278317588948</v>
      </c>
      <c r="G39" s="32">
        <f t="shared" si="3"/>
        <v>-55.358678404309323</v>
      </c>
      <c r="H39" s="32">
        <f t="shared" si="3"/>
        <v>-41.379278317588948</v>
      </c>
    </row>
    <row r="40" spans="1:8" ht="30" x14ac:dyDescent="0.25">
      <c r="A40" s="31" t="s">
        <v>37</v>
      </c>
      <c r="B40" s="32">
        <f>A8-B$27-A9-A10+A14-A17-A18-A16-10*LOG10(32768)-B22</f>
        <v>57.059979661754788</v>
      </c>
      <c r="C40" s="32">
        <f>A8-C$27-A9-A10+A14-A17-A18-A16-10*LOG10(32768)-B22</f>
        <v>43.080579575034413</v>
      </c>
      <c r="D40" s="32">
        <f>A8-D$27-A9-A10+A14-A17-A18-A16-10*LOG10(32768)-B22</f>
        <v>3.0805795750343989</v>
      </c>
      <c r="E40" s="32">
        <f>ЭИИМ-E$30-А_атм-А_навед+Ку_нртк-А_дм-А_нес-No-10*LOG10(32768)-$C$25</f>
        <v>-72.348378447669518</v>
      </c>
      <c r="F40" s="32">
        <f t="shared" ref="F40:H40" si="4">ЭИИМ-F$30-А_атм-А_навед+Ку_нртк-А_дм-А_нес-No-10*LOG10(32768)-$C$25</f>
        <v>-64.389578274228768</v>
      </c>
      <c r="G40" s="32">
        <f t="shared" si="4"/>
        <v>-58.368978360949136</v>
      </c>
      <c r="H40" s="32">
        <f t="shared" si="4"/>
        <v>-44.389578274228761</v>
      </c>
    </row>
    <row r="41" spans="1:8" ht="30" x14ac:dyDescent="0.25">
      <c r="A41" s="33" t="s">
        <v>38</v>
      </c>
      <c r="B41" s="34">
        <f>A8-B$27-A9-A10+A14-A17-A18-A16-10*LOG10(524288)-B22</f>
        <v>45.018779835195538</v>
      </c>
      <c r="C41" s="34">
        <f>A8-C$27-A9-A10+A14-A17-A18-A16-10*LOG10(524288)-B22</f>
        <v>31.039379748475163</v>
      </c>
      <c r="D41" s="34">
        <f>A8-D$27-A9-A10+A14-A17-A18-A16-10*LOG10(524288)-B22</f>
        <v>-8.9606202515248512</v>
      </c>
      <c r="E41" s="34">
        <f>ЭИИМ-E$30-А_атм-А_навед+Ку_нртк-А_дм-А_нес-No-10*LOG10(524288)-$C$25</f>
        <v>-84.389578274228768</v>
      </c>
      <c r="F41" s="34">
        <f t="shared" ref="F41:H41" si="5">ЭИИМ-F$30-А_атм-А_навед+Ку_нртк-А_дм-А_нес-No-10*LOG10(524288)-$C$25</f>
        <v>-76.430778100788018</v>
      </c>
      <c r="G41" s="34">
        <f t="shared" si="5"/>
        <v>-70.410178187508393</v>
      </c>
      <c r="H41" s="34">
        <f t="shared" si="5"/>
        <v>-56.430778100788011</v>
      </c>
    </row>
    <row r="42" spans="1:8" x14ac:dyDescent="0.25">
      <c r="A42" s="35"/>
      <c r="B42" s="36"/>
      <c r="C42" s="37"/>
      <c r="D42" s="36"/>
      <c r="E42" s="37"/>
      <c r="F42" s="38"/>
      <c r="G42" s="38"/>
      <c r="H42" s="39"/>
    </row>
    <row r="43" spans="1:8" x14ac:dyDescent="0.25">
      <c r="A43" s="5" t="s">
        <v>39</v>
      </c>
      <c r="B43" s="40"/>
      <c r="C43" s="30"/>
      <c r="D43" s="5"/>
      <c r="E43" s="5"/>
      <c r="F43" s="5"/>
      <c r="G43" s="5"/>
      <c r="H43" s="5"/>
    </row>
    <row r="44" spans="1:8" ht="30" x14ac:dyDescent="0.25">
      <c r="A44" s="31" t="s">
        <v>32</v>
      </c>
      <c r="B44" s="41">
        <f>A8-B$27-A9-A10+A14-A17-A18-A16-10*LOG10(16)-B23</f>
        <v>87.173279184792719</v>
      </c>
      <c r="C44" s="32">
        <f>A8-C$27-A9-A10+A14-A17-A18-A16-10*LOG10(16)-B23</f>
        <v>73.193879098072344</v>
      </c>
      <c r="D44" s="32">
        <f>ЭИИМ-D$30-А_атм-А_навед+Ку_нртк-А_дм-А_нес-No-10*LOG10(16)-$C$26</f>
        <v>-1051.2762787511908</v>
      </c>
      <c r="E44" s="32">
        <f>ЭИИМ-E$30-А_атм-А_навед+Ку_нртк-А_дм-А_нес-No-10*LOG10(16)-$C$26</f>
        <v>-1039.2350789246316</v>
      </c>
      <c r="F44" s="32">
        <f t="shared" ref="F44:H44" si="6">ЭИИМ-F$30-А_атм-А_навед+Ку_нртк-А_дм-А_нес-No-10*LOG10(16)-$C$26</f>
        <v>-1031.2762787511908</v>
      </c>
      <c r="G44" s="32">
        <f t="shared" si="6"/>
        <v>-1025.2556788379111</v>
      </c>
      <c r="H44" s="32">
        <f t="shared" si="6"/>
        <v>-1011.2762787511908</v>
      </c>
    </row>
    <row r="45" spans="1:8" ht="30" x14ac:dyDescent="0.25">
      <c r="A45" s="31" t="s">
        <v>33</v>
      </c>
      <c r="B45" s="41">
        <f>A8-B$27-A9-A10+A14-A17-A18-A16-10*LOG10(128)-B23</f>
        <v>78.142379314873281</v>
      </c>
      <c r="C45" s="32">
        <f>A8-C$27-A9-A10+A14-A17-A18-A16-10*LOG10(128)-B23</f>
        <v>64.162979228152906</v>
      </c>
      <c r="D45" s="32">
        <f>ЭИИМ-D$30-А_атм-А_навед+Ку_нртк-А_дм-А_нес-No-10*LOG10(128)-$C$26</f>
        <v>-1060.3071786211103</v>
      </c>
      <c r="E45" s="32">
        <f>ЭИИМ-E$30-А_атм-А_навед+Ку_нртк-А_дм-А_нес-No-10*LOG10(128)-$C$26</f>
        <v>-1048.2659787945511</v>
      </c>
      <c r="F45" s="32">
        <f t="shared" ref="F45:H45" si="7">ЭИИМ-F$30-А_атм-А_навед+Ку_нртк-А_дм-А_нес-No-10*LOG10(128)-$C$26</f>
        <v>-1040.3071786211103</v>
      </c>
      <c r="G45" s="32">
        <f t="shared" si="7"/>
        <v>-1034.2865787078306</v>
      </c>
      <c r="H45" s="32">
        <f t="shared" si="7"/>
        <v>-1020.3071786211102</v>
      </c>
    </row>
    <row r="46" spans="1:8" ht="30" x14ac:dyDescent="0.25">
      <c r="A46" s="31" t="s">
        <v>34</v>
      </c>
      <c r="B46" s="41">
        <f>A8-B$27-A9-A10+A14-A17-A18-A16-10*LOG10(1024)-B23</f>
        <v>69.111479444953844</v>
      </c>
      <c r="C46" s="32">
        <f>A8-C$27-A9-A10+A14-A17-A18-A16-10*LOG10(1024)-B23</f>
        <v>55.132079358233469</v>
      </c>
      <c r="D46" s="32">
        <f>ЭИИМ-D$30-А_атм-А_навед+Ку_нртк-А_дм-А_нес-No-10*LOG10(1024)-$C$26</f>
        <v>-1069.3380784910296</v>
      </c>
      <c r="E46" s="32">
        <f>ЭИИМ-E$30-А_атм-А_навед+Ку_нртк-А_дм-А_нес-No-10*LOG10(1024)-$C$26</f>
        <v>-1057.2968786644706</v>
      </c>
      <c r="F46" s="32">
        <f t="shared" ref="F46:H46" si="8">ЭИИМ-F$30-А_атм-А_навед+Ку_нртк-А_дм-А_нес-No-10*LOG10(1024)-$C$26</f>
        <v>-1049.3380784910296</v>
      </c>
      <c r="G46" s="32">
        <f t="shared" si="8"/>
        <v>-1043.3174785777501</v>
      </c>
      <c r="H46" s="32">
        <f t="shared" si="8"/>
        <v>-1029.3380784910296</v>
      </c>
    </row>
    <row r="47" spans="1:8" ht="30" x14ac:dyDescent="0.25">
      <c r="A47" s="31" t="s">
        <v>35</v>
      </c>
      <c r="B47" s="41">
        <f>A8-B$27-A9-A10+A14-A17-A18-A16-10*LOG10(4096)-B23</f>
        <v>63.090879531674233</v>
      </c>
      <c r="C47" s="32">
        <f>A8-C$27-A9-A10+A14-A17-A18-A16-10*LOG10(4096)-B23</f>
        <v>49.111479444953851</v>
      </c>
      <c r="D47" s="32">
        <f>ЭИИМ-D$30-А_атм-А_навед+Ку_нртк-А_дм-А_нес-No-10*LOG10(4096)-$C$26</f>
        <v>-1075.3586784043093</v>
      </c>
      <c r="E47" s="32">
        <f>ЭИИМ-E$30-А_атм-А_навед+Ку_нртк-А_дм-А_нес-No-10*LOG10(4096)-$C$26</f>
        <v>-1063.3174785777501</v>
      </c>
      <c r="F47" s="32">
        <f t="shared" ref="F47:H47" si="9">ЭИИМ-F$30-А_атм-А_навед+Ку_нртк-А_дм-А_нес-No-10*LOG10(4096)-$C$26</f>
        <v>-1055.3586784043093</v>
      </c>
      <c r="G47" s="32">
        <f t="shared" si="9"/>
        <v>-1049.3380784910296</v>
      </c>
      <c r="H47" s="32">
        <f t="shared" si="9"/>
        <v>-1035.3586784043093</v>
      </c>
    </row>
    <row r="48" spans="1:8" ht="30" x14ac:dyDescent="0.25">
      <c r="A48" s="31" t="s">
        <v>36</v>
      </c>
      <c r="B48" s="41">
        <f>A8-B$27-A9-A10+A14-A17-A18-A16-10*LOG10(16384)-B23</f>
        <v>57.070279618394601</v>
      </c>
      <c r="C48" s="32">
        <f>A8-C$27-A9-A10+A14-A17-A18-A16-10*LOG10(16384)-B23</f>
        <v>43.090879531674226</v>
      </c>
      <c r="D48" s="32">
        <f>ЭИИМ-D$30-А_атм-А_навед+Ку_нртк-А_дм-А_нес-No-10*LOG10(16384)-$C$26</f>
        <v>-1081.3792783175891</v>
      </c>
      <c r="E48" s="32">
        <f>ЭИИМ-E$30-А_атм-А_навед+Ку_нртк-А_дм-А_нес-No-10*LOG10(16384)-$C$26</f>
        <v>-1069.3380784910296</v>
      </c>
      <c r="F48" s="32">
        <f t="shared" ref="F48:H48" si="10">ЭИИМ-F$30-А_атм-А_навед+Ку_нртк-А_дм-А_нес-No-10*LOG10(16384)-$C$26</f>
        <v>-1061.3792783175888</v>
      </c>
      <c r="G48" s="32">
        <f t="shared" si="10"/>
        <v>-1055.3586784043093</v>
      </c>
      <c r="H48" s="32">
        <f t="shared" si="10"/>
        <v>-1041.3792783175888</v>
      </c>
    </row>
    <row r="49" spans="1:8" ht="30" x14ac:dyDescent="0.25">
      <c r="A49" s="31" t="s">
        <v>37</v>
      </c>
      <c r="B49" s="32">
        <f>A8-B$27-A9-A10+A14-A17-A18-A16-10*LOG10(32768)-B23</f>
        <v>54.059979661754788</v>
      </c>
      <c r="C49" s="32">
        <f>A8-C$27-A9-A10+A14-A17-A18-A16-10*LOG10(32768)-B23</f>
        <v>40.080579575034413</v>
      </c>
      <c r="D49" s="32">
        <f>ЭИИМ-D$30-А_атм-А_навед+Ку_нртк-А_дм-А_нес-No-10*LOG10(32768)-$C$26</f>
        <v>-1084.3895782742288</v>
      </c>
      <c r="E49" s="32">
        <f>ЭИИМ-E$30-А_атм-А_навед+Ку_нртк-А_дм-А_нес-No-10*LOG10(32768)-$C$26</f>
        <v>-1072.3483784476696</v>
      </c>
      <c r="F49" s="32">
        <f t="shared" ref="F49:H49" si="11">ЭИИМ-F$30-А_атм-А_навед+Ку_нртк-А_дм-А_нес-No-10*LOG10(32768)-$C$26</f>
        <v>-1064.3895782742288</v>
      </c>
      <c r="G49" s="32">
        <f t="shared" si="11"/>
        <v>-1058.3689783609491</v>
      </c>
      <c r="H49" s="32">
        <f t="shared" si="11"/>
        <v>-1044.3895782742288</v>
      </c>
    </row>
    <row r="50" spans="1:8" ht="30" x14ac:dyDescent="0.25">
      <c r="A50" s="33" t="s">
        <v>38</v>
      </c>
      <c r="B50" s="42">
        <f>A8-B$27-A9-A10+A14-A17-A18-A16-10*LOG10(524288)-B23</f>
        <v>42.018779835195538</v>
      </c>
      <c r="C50" s="34">
        <f>A8-C$27-A9-A10+A14-A17-A18-A16-10*LOG10(524288)-B23</f>
        <v>28.039379748475163</v>
      </c>
      <c r="D50" s="34">
        <f>ЭИИМ-D$30-А_атм-А_навед+Ку_нртк-А_дм-А_нес-No-10*LOG10(524288)-$C$26</f>
        <v>-1096.4307781007881</v>
      </c>
      <c r="E50" s="34">
        <f>ЭИИМ-E$30-А_атм-А_навед+Ку_нртк-А_дм-А_нес-No-10*LOG10(524288)-$C$26</f>
        <v>-1084.3895782742288</v>
      </c>
      <c r="F50" s="34">
        <f t="shared" ref="F50:H50" si="12">ЭИИМ-F$30-А_атм-А_навед+Ку_нртк-А_дм-А_нес-No-10*LOG10(524288)-$C$26</f>
        <v>-1076.4307781007881</v>
      </c>
      <c r="G50" s="34">
        <f t="shared" si="12"/>
        <v>-1070.4101781875083</v>
      </c>
      <c r="H50" s="34">
        <f t="shared" si="12"/>
        <v>-1056.4307781007881</v>
      </c>
    </row>
    <row r="51" spans="1:8" x14ac:dyDescent="0.25">
      <c r="A51" s="35"/>
      <c r="B51" s="43"/>
      <c r="C51" s="44"/>
      <c r="D51" s="43"/>
      <c r="E51" s="44"/>
      <c r="F51" s="45"/>
      <c r="G51" s="45"/>
      <c r="H51" s="46"/>
    </row>
    <row r="52" spans="1:8" x14ac:dyDescent="0.25">
      <c r="A52" s="6" t="s">
        <v>40</v>
      </c>
      <c r="B52" s="30"/>
      <c r="C52" s="30"/>
      <c r="D52" s="5"/>
      <c r="E52" s="5"/>
      <c r="F52" s="5"/>
      <c r="G52" s="5"/>
      <c r="H52" s="5"/>
    </row>
    <row r="53" spans="1:8" ht="30" x14ac:dyDescent="0.25">
      <c r="A53" s="47" t="s">
        <v>41</v>
      </c>
      <c r="B53" s="32">
        <f>A8-B$27-A9-A10+A14-A17-A18-A16-10*LOG10(4)-B24</f>
        <v>89.193879098072344</v>
      </c>
      <c r="C53" s="32">
        <f t="shared" ref="C53:H53" si="13">ЭИИМ-C$30-А_атм-А_навед+Ку_нртк-А_дм-А_нес-No-10*LOG10(4)-$C$27</f>
        <v>-244.5808920052437</v>
      </c>
      <c r="D53" s="32">
        <f>ЭИИМ-D$30-А_атм-А_навед+Ку_нртк-А_дм-А_нес-No-10*LOG10(4)-$C$27</f>
        <v>-204.5808920052437</v>
      </c>
      <c r="E53" s="32">
        <f>ЭИИМ-E$30-А_атм-А_навед+Ку_нртк-А_дм-А_нес-No-10*LOG10(4)-$C$27</f>
        <v>-192.53969217868445</v>
      </c>
      <c r="F53" s="32">
        <f t="shared" si="13"/>
        <v>-184.5808920052437</v>
      </c>
      <c r="G53" s="32">
        <f t="shared" si="13"/>
        <v>-178.56029209196407</v>
      </c>
      <c r="H53" s="32">
        <f t="shared" si="13"/>
        <v>-164.5808920052437</v>
      </c>
    </row>
    <row r="54" spans="1:8" ht="30" x14ac:dyDescent="0.25">
      <c r="A54" s="47" t="s">
        <v>32</v>
      </c>
      <c r="B54" s="32">
        <f>A8-B$27-A9-A10+A14-A17-A18-A16-10*LOG10(16)-B24</f>
        <v>83.173279184792719</v>
      </c>
      <c r="C54" s="32">
        <f t="shared" ref="C54:H54" si="14">ЭИИМ-C$30-А_атм-А_навед+Ку_нртк-А_дм-А_нес-No-10*LOG10(16)-$C$27</f>
        <v>-250.60149191852332</v>
      </c>
      <c r="D54" s="32">
        <f>ЭИИМ-D$30-А_атм-А_навед+Ку_нртк-А_дм-А_нес-No-10*LOG10(16)-$C$27</f>
        <v>-210.60149191852332</v>
      </c>
      <c r="E54" s="32">
        <f>ЭИИМ-E$30-А_атм-А_навед+Ку_нртк-А_дм-А_нес-No-10*LOG10(16)-$C$27</f>
        <v>-198.56029209196407</v>
      </c>
      <c r="F54" s="32">
        <f t="shared" si="14"/>
        <v>-190.60149191852332</v>
      </c>
      <c r="G54" s="32">
        <f t="shared" si="14"/>
        <v>-184.5808920052437</v>
      </c>
      <c r="H54" s="32">
        <f t="shared" si="14"/>
        <v>-170.60149191852332</v>
      </c>
    </row>
    <row r="55" spans="1:8" ht="30" x14ac:dyDescent="0.25">
      <c r="A55" s="47" t="s">
        <v>33</v>
      </c>
      <c r="B55" s="32">
        <f>A8-B$27-A9-A10+A14-A17-A18-A16-10*LOG10(128)-B24</f>
        <v>74.142379314873281</v>
      </c>
      <c r="C55" s="32">
        <f t="shared" ref="C55:H55" si="15">ЭИИМ-C$30-А_атм-А_навед+Ку_нртк-А_дм-А_нес-No-10*LOG10(128)-$C$27</f>
        <v>-259.63239178844276</v>
      </c>
      <c r="D55" s="32">
        <f>ЭИИМ-D$30-А_атм-А_навед+Ку_нртк-А_дм-А_нес-No-10*LOG10(128)-$C$27</f>
        <v>-219.63239178844276</v>
      </c>
      <c r="E55" s="32">
        <f>ЭИИМ-E$30-А_атм-А_навед+Ку_нртк-А_дм-А_нес-No-10*LOG10(128)-$C$27</f>
        <v>-207.59119196188351</v>
      </c>
      <c r="F55" s="32">
        <f t="shared" si="15"/>
        <v>-199.63239178844276</v>
      </c>
      <c r="G55" s="32">
        <f t="shared" si="15"/>
        <v>-193.61179187516314</v>
      </c>
      <c r="H55" s="32">
        <f t="shared" si="15"/>
        <v>-179.63239178844276</v>
      </c>
    </row>
    <row r="56" spans="1:8" ht="30" x14ac:dyDescent="0.25">
      <c r="A56" s="47" t="s">
        <v>34</v>
      </c>
      <c r="B56" s="32">
        <f>A8-B$27-A9-A10+A14-A17-A18-A16-10*LOG10(1024)-B24</f>
        <v>65.111479444953844</v>
      </c>
      <c r="C56" s="32">
        <f t="shared" ref="C56:H56" si="16">ЭИИМ-C$30-А_атм-А_навед+Ку_нртк-А_дм-А_нес-No-10*LOG10(1024)-$C$27</f>
        <v>-268.6632916583622</v>
      </c>
      <c r="D56" s="32">
        <f>ЭИИМ-D$30-А_атм-А_навед+Ку_нртк-А_дм-А_нес-No-10*LOG10(1024)-$C$27</f>
        <v>-228.6632916583622</v>
      </c>
      <c r="E56" s="32">
        <f>ЭИИМ-E$30-А_атм-А_навед+Ку_нртк-А_дм-А_нес-No-10*LOG10(1024)-$C$27</f>
        <v>-216.62209183180295</v>
      </c>
      <c r="F56" s="32">
        <f t="shared" si="16"/>
        <v>-208.6632916583622</v>
      </c>
      <c r="G56" s="32">
        <f t="shared" si="16"/>
        <v>-202.64269174508257</v>
      </c>
      <c r="H56" s="32">
        <f t="shared" si="16"/>
        <v>-188.6632916583622</v>
      </c>
    </row>
    <row r="57" spans="1:8" ht="30" x14ac:dyDescent="0.25">
      <c r="A57" s="47" t="s">
        <v>35</v>
      </c>
      <c r="B57" s="32">
        <f>A8-B$27-A9-A10+A14-A17-A18-A16-10*LOG10(4096)-B24</f>
        <v>59.090879531674233</v>
      </c>
      <c r="C57" s="32">
        <f t="shared" ref="C57:H57" si="17">ЭИИМ-C$30-А_атм-А_навед+Ку_нртк-А_дм-А_нес-No-10*LOG10(4096)-$C$27</f>
        <v>-274.68389157164182</v>
      </c>
      <c r="D57" s="32">
        <f>ЭИИМ-D$30-А_атм-А_навед+Ку_нртк-А_дм-А_нес-No-10*LOG10(4096)-$C$27</f>
        <v>-234.68389157164182</v>
      </c>
      <c r="E57" s="32">
        <f>ЭИИМ-E$30-А_атм-А_навед+Ку_нртк-А_дм-А_нес-No-10*LOG10(4096)-$C$27</f>
        <v>-222.64269174508257</v>
      </c>
      <c r="F57" s="32">
        <f t="shared" si="17"/>
        <v>-214.68389157164182</v>
      </c>
      <c r="G57" s="32">
        <f t="shared" si="17"/>
        <v>-208.6632916583622</v>
      </c>
      <c r="H57" s="32">
        <f t="shared" si="17"/>
        <v>-194.68389157164182</v>
      </c>
    </row>
    <row r="58" spans="1:8" ht="30" x14ac:dyDescent="0.25">
      <c r="A58" s="47" t="s">
        <v>36</v>
      </c>
      <c r="B58" s="32">
        <f>A8-B$27-A9-A10+A14-A17-A18-A16-10*LOG10(16384)-B24</f>
        <v>53.070279618394601</v>
      </c>
      <c r="C58" s="32">
        <f t="shared" ref="C58:H58" si="18">ЭИИМ-C$30-А_атм-А_навед+Ку_нртк-А_дм-А_нес-No-10*LOG10(16384)-$C$27</f>
        <v>-280.70449148492145</v>
      </c>
      <c r="D58" s="32">
        <f>ЭИИМ-D$30-А_атм-А_навед+Ку_нртк-А_дм-А_нес-No-10*LOG10(16384)-$C$27</f>
        <v>-240.70449148492145</v>
      </c>
      <c r="E58" s="32">
        <f>ЭИИМ-E$30-А_атм-А_навед+Ку_нртк-А_дм-А_нес-No-10*LOG10(16384)-$C$27</f>
        <v>-228.6632916583622</v>
      </c>
      <c r="F58" s="32">
        <f t="shared" si="18"/>
        <v>-220.70449148492145</v>
      </c>
      <c r="G58" s="32">
        <f t="shared" si="18"/>
        <v>-214.68389157164182</v>
      </c>
      <c r="H58" s="32">
        <f t="shared" si="18"/>
        <v>-200.70449148492145</v>
      </c>
    </row>
    <row r="59" spans="1:8" ht="30" x14ac:dyDescent="0.25">
      <c r="A59" s="31" t="s">
        <v>37</v>
      </c>
      <c r="B59" s="32">
        <f>A8-B$27-A9-A10+A14-A17-A18-A16-10*LOG10(32768)-B24</f>
        <v>50.059979661754788</v>
      </c>
      <c r="C59" s="32">
        <f t="shared" ref="C59:H59" si="19">ЭИИМ-C$30-А_атм-А_навед+Ку_нртк-А_дм-А_нес-No-10*LOG10(32768)-$C$27</f>
        <v>-283.71479144156126</v>
      </c>
      <c r="D59" s="32">
        <f>ЭИИМ-D$30-А_атм-А_навед+Ку_нртк-А_дм-А_нес-No-10*LOG10(32768)-$C$27</f>
        <v>-243.71479144156126</v>
      </c>
      <c r="E59" s="32">
        <f>ЭИИМ-E$30-А_атм-А_навед+Ку_нртк-А_дм-А_нес-No-10*LOG10(32768)-$C$27</f>
        <v>-231.67359161500201</v>
      </c>
      <c r="F59" s="32">
        <f t="shared" si="19"/>
        <v>-223.71479144156126</v>
      </c>
      <c r="G59" s="32">
        <f t="shared" si="19"/>
        <v>-217.69419152828164</v>
      </c>
      <c r="H59" s="32">
        <f t="shared" si="19"/>
        <v>-203.71479144156126</v>
      </c>
    </row>
    <row r="60" spans="1:8" ht="30" x14ac:dyDescent="0.25">
      <c r="A60" s="35" t="s">
        <v>38</v>
      </c>
      <c r="B60" s="34">
        <f>A8-B$27-A9-A10+A14-A17-A18-A16-10*LOG10(524288)-B24</f>
        <v>38.018779835195538</v>
      </c>
      <c r="C60" s="34">
        <f t="shared" ref="C60:H60" si="20">ЭИИМ-C$30-А_атм-А_навед+Ку_нртк-А_дм-А_нес-No-10*LOG10(524288)-$C$27</f>
        <v>-295.75599126812051</v>
      </c>
      <c r="D60" s="34">
        <f>ЭИИМ-D$30-А_атм-А_навед+Ку_нртк-А_дм-А_нес-No-10*LOG10(524288)-$C$27</f>
        <v>-255.75599126812051</v>
      </c>
      <c r="E60" s="34">
        <f>ЭИИМ-E$30-А_атм-А_навед+Ку_нртк-А_дм-А_нес-No-10*LOG10(524288)-$C$27</f>
        <v>-243.71479144156126</v>
      </c>
      <c r="F60" s="34">
        <f t="shared" si="20"/>
        <v>-235.75599126812051</v>
      </c>
      <c r="G60" s="34">
        <f t="shared" si="20"/>
        <v>-229.73539135484089</v>
      </c>
      <c r="H60" s="34">
        <f t="shared" si="20"/>
        <v>-215.75599126812051</v>
      </c>
    </row>
  </sheetData>
  <mergeCells count="1">
    <mergeCell ref="B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No</vt:lpstr>
      <vt:lpstr>А_атм</vt:lpstr>
      <vt:lpstr>А_дм</vt:lpstr>
      <vt:lpstr>А_навед</vt:lpstr>
      <vt:lpstr>А_нес</vt:lpstr>
      <vt:lpstr>дл_волны</vt:lpstr>
      <vt:lpstr>Ку_нртк</vt:lpstr>
      <vt:lpstr>ЭИИМ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pudge 1</dc:creator>
  <cp:lastModifiedBy>pudge 1</cp:lastModifiedBy>
  <dcterms:created xsi:type="dcterms:W3CDTF">2024-08-17T11:46:33Z</dcterms:created>
  <dcterms:modified xsi:type="dcterms:W3CDTF">2024-08-18T01:22:42Z</dcterms:modified>
</cp:coreProperties>
</file>